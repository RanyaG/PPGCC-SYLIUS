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Geral" sheetId="1" state="visible" r:id="rId3"/>
    <sheet name="Produtos" sheetId="2" state="visible" r:id="rId4"/>
    <sheet name="Payment Methods" sheetId="3" state="visible" r:id="rId5"/>
    <sheet name="Customers" sheetId="4" state="visible" r:id="rId6"/>
    <sheet name="Shipping Method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<sst xmlns="http://schemas.openxmlformats.org/spreadsheetml/2006/main" count="189" uniqueCount="112">
  <si>
    <t xml:space="preserve">RESUMO GERAL — médias por funcionalidade (discentes vs referência)</t>
  </si>
  <si>
    <t xml:space="preserve">Preenchido automaticamente a partir das médias de cada aba. A referência é 100% detecção, 0 smells, 0% redundância por construção.</t>
  </si>
  <si>
    <t xml:space="preserve">Funcionalidade</t>
  </si>
  <si>
    <t xml:space="preserve">Nº suítes</t>
  </si>
  <si>
    <t xml:space="preserve">Detecção média (aluno)</t>
  </si>
  <si>
    <t xml:space="preserve">Detecção (ref.)</t>
  </si>
  <si>
    <t xml:space="preserve">Smells médio (aluno)</t>
  </si>
  <si>
    <t xml:space="preserve">Redund. média (aluno)</t>
  </si>
  <si>
    <t xml:space="preserve">Redund. (ref.)</t>
  </si>
  <si>
    <t xml:space="preserve">Produtos</t>
  </si>
  <si>
    <t xml:space="preserve">Payment Methods</t>
  </si>
  <si>
    <t xml:space="preserve">Customers</t>
  </si>
  <si>
    <t xml:space="preserve">Shipping Methods</t>
  </si>
  <si>
    <t xml:space="preserve">Coleta — Produtos</t>
  </si>
  <si>
    <t xml:space="preserve">Preencha as colunas amarelas ao analisar cada suíte. Detecção e Redundância em % (ex.: 0,1 = 10%). Nº Smells = tipos presentes (0 a 7). A linha REFERÊNCIA (oráculo) já vem preenchida.</t>
  </si>
  <si>
    <t xml:space="preserve">Semestre</t>
  </si>
  <si>
    <t xml:space="preserve">Aluno (1º integrante)</t>
  </si>
  <si>
    <t xml:space="preserve">Link</t>
  </si>
  <si>
    <t xml:space="preserve">Detecção</t>
  </si>
  <si>
    <t xml:space="preserve">Nº Smells</t>
  </si>
  <si>
    <t xml:space="preserve">Redundância</t>
  </si>
  <si>
    <t xml:space="preserve">Nº casos</t>
  </si>
  <si>
    <t xml:space="preserve">Observações</t>
  </si>
  <si>
    <t xml:space="preserve">—</t>
  </si>
  <si>
    <t xml:space="preserve">REFERÊNCIA (oráculo)</t>
  </si>
  <si>
    <t xml:space="preserve">suíte construída sob critério especialista</t>
  </si>
  <si>
    <t xml:space="preserve">2022.2</t>
  </si>
  <si>
    <t xml:space="preserve">José Itallo Martins Silva Diniz</t>
  </si>
  <si>
    <t xml:space="preserve">https://drive.google.com/open?id=1tHE51k-og27faaEkCNG1171rFC52XMZF</t>
  </si>
  <si>
    <t xml:space="preserve">Todos os 7 tipos de smell presentes (espera fixa, seletor fragil, dependencia de dado, assert fraco, hardcoded, duplicacao, force). Alta dependencia de ordem de execucao: produto codigo 12345 criado no teste 2 e reutilizado nos testes 3-10. Sem redundancia classica, mas baixa cobertura de classes invalidas (so 1 caso de busca inexistente, nenhuma validacao de campo obrigatorio vazio testada na criacao). DETECCAO: 0/2 (nao detecta D1-codigo obrigatorio nem D5-formato de codigo; suite nao tem teste relevante para nenhum dos dois).</t>
  </si>
  <si>
    <t xml:space="preserve">Henrique Lopes Nóbrega</t>
  </si>
  <si>
    <t xml:space="preserve">https://drive.google.com/open?id=1X1DbaLCDYOHZ7EWJBxeR1bQsmpkNZmd7</t>
  </si>
  <si>
    <t xml:space="preserve">5 de 7 smells presentes (seletor fragil, dependencia de dado, assert fraco, hardcoded, duplicacao). Sem espera fixa e sem force - melhor que a suite anterior nesses pontos. Dependencia critica de fixture: URL hardcoded por ID numerico (/admin/products/20/edit). Sem redundancia classica; testes SIM/NAO de confirmacao sao complementares, nao redundantes. DETECCAO: 0/2 (nao detecta D1-codigo obrigatorio nem D5-formato de codigo; suite nao tem teste relevante para nenhum dos dois).</t>
  </si>
  <si>
    <t xml:space="preserve">2023.1</t>
  </si>
  <si>
    <t xml:space="preserve">Gabriel Rodrigues Oliveira Lacerda</t>
  </si>
  <si>
    <t xml:space="preserve">https://drive.google.com/open?id=1JY44ixG6ISCf7Bfh4Ne-c6oVv_S54i3b</t>
  </si>
  <si>
    <t xml:space="preserve">5 de 7 smells presentes. Seletores extremamente frageis e posicionais (nth-child encadeado profundo, ex: :nth-child(1) &gt; :nth-child(7) &gt; :nth-child(1) &gt; form &gt; .ui) - pior caso ate agora. Acoplamento sequencial explicito entre 2 testes (criar produto1 -&gt; deletar produto1). Assert fraco em delecao (nao confirma sumico da lista) e em paginacao (so visibilidade). Sem redundancia classica; filtros testam aspectos distintos e complementares. DETECCAO: 0/2 (nao detecta D1-codigo obrigatorio nem D5-formato de codigo; suite nao tem teste relevante para nenhum dos dois).</t>
  </si>
  <si>
    <t xml:space="preserve">Jonatha Kennedy Monteiro da Costa</t>
  </si>
  <si>
    <t xml:space="preserve">https://drive.google.com/open?id=1pyrQF6TeHn02DlcjI0CP0GlocON9WCeR</t>
  </si>
  <si>
    <t xml:space="preserve">5 de 7 smells presentes. Seletor mais fragil visto ate agora: form[action="/admin/products/20/variants/111"] com IDs hardcoded no proprio seletor CSS. Acoplamento sequencial entre criar e deletar produto teste. Assert de breadcrumb e o mais rigoroso da leva (compara item a item contra array esperado). Alta duplicacao de setup (5 de 8 testes repetem a mesma sequencia de navegacao). Sem redundancia por criterio consistente, mas 2 testes compartilham setup identico verificando secoes distintas da mesma tela de detalhe (variantes vs paises) - oportunidade de fusao, nao redundancia classica. DETECCAO: 0/2 (nao detecta D1-codigo obrigatorio nem D5-formato de codigo; suite nao tem teste relevante para nenhum dos dois).</t>
  </si>
  <si>
    <t xml:space="preserve">2023.2</t>
  </si>
  <si>
    <t xml:space="preserve">Felipe Siqueira</t>
  </si>
  <si>
    <t xml:space="preserve">https://drive.google.com/open?id=1v_EY0Cn_FNiFcIuRBYHr6xiMg5KBFa3v</t>
  </si>
  <si>
    <t xml:space="preserve">5 de 7 smells presentes. Navegacao inicial identica repetida em todos os 11 testes (candidata a beforeEach). Boa cobertura de particao nos 4 testes de operador de busca (starts/ends/contains/equal - classes distintas, nao redundantes). PORÉM os 4 testes de filtro por taxon (T-shirts/Jeans Homem/Mulher) exercitam o mesmo mecanismo exato mudando so o ID e os nomes esperados, sem logica nova - 3 deles contados como redundantes (poderiam ser 1 teste parametrizado). Assert fraco pontual no teste de limite de exibicao (so confere URL, nao confirma quantidade real exibida). DETECCAO: 0/2 (nao detecta D1-codigo obrigatorio nem D5-formato de codigo; suite nao tem teste relevante para nenhum dos dois).</t>
  </si>
  <si>
    <t xml:space="preserve">Daniel Maciel Chagas</t>
  </si>
  <si>
    <t xml:space="preserve">https://drive.google.com/open?id=108pg5cypn52WUJjSxk5NNjtM8xgCrmw5</t>
  </si>
  <si>
    <t xml:space="preserve">5 de 7 smells presentes. Assert mais fragil visto ate agora: cy.get("p") pega o primeiro &lt;p&gt; da pagina inteira, sem mirar em container semantico. Cadeia de dependencia sequencial mais grave da leva: codigo 123 e criado, editado, deletado, recriado e deletado de novo ao longo de 4 dos 6 testes - qualquer falha no meio derruba os seguintes em cascata. Fluxo de criacao copiado 3x sem funcao auxiliar. Sem redundancia classica: "criar produtos" repete passos do "criar produto" mas agrega valor novo (segundo produto); delecao individual vs em massa testam mecanismos de UI distintos. DETECCAO: 0/2 (nao detecta D1-codigo obrigatorio nem D5-formato de codigo; suite nao tem teste relevante para nenhum dos dois).</t>
  </si>
  <si>
    <t xml:space="preserve">2024.1</t>
  </si>
  <si>
    <t xml:space="preserve">Cristovão Pessoa Cândido Neto</t>
  </si>
  <si>
    <t xml:space="preserve">https://drive.google.com/open?id=1GJ2TFcdb2rWJnzJdGMCPyBHyKj84CV-M</t>
  </si>
  <si>
    <t xml:space="preserve">7 de 7 smells presentes (todos os tipos) - segunda suite a ter full-house, junto com Jose Itallo. Uso pesado de .first()/.eq() assumindo sempre "o primeiro item" da listagem, risco real de selecionar produto errado silenciosamente apos teste anterior alterar ordenacao (mudar nome). 3 usos de force:true. Asserts de taxonomia/atributo/associacao usam a mesma mensagem generica "successfully updated", sem confirmar que o campo especifico foi aplicado. Sem redundancia classica: testes de taxonomia/atributo/associacao editam campos distintos, complementares. DETECCAO: 0/2 (nao detecta D1-codigo obrigatorio nem D5-formato de codigo; suite nao tem teste relevante para nenhum dos dois).</t>
  </si>
  <si>
    <t xml:space="preserve">2024.2</t>
  </si>
  <si>
    <t xml:space="preserve">Ailton José de Araújo Júnior</t>
  </si>
  <si>
    <t xml:space="preserve">https://drive.google.com/open?id=1zO8N1JOuE11iAfOzjRn4Q7l-hT2_IAtR</t>
  </si>
  <si>
    <t xml:space="preserve">Melhor suite de Produtos analisada: so 4 de 7 smells. Diferencial: asserts consistentemente especificos (valor exato de campo, texto exato de celula, cada linha de busca, URL de paginacao) em vez de flash message generica - unica suite sem o smell de assert fraco. Ainda tem seletor com IDs hardcoded na URL (produto 17/variante 95), dependencia de multiplas fixtures, e duplicacao (inclusive uma linha de clique repetida por engano). Sem espera fixa, sem force. Sem redundancia: 7 cenarios distintos sem sobreposicao. DETECCAO: 0/2 (nao detecta D1-codigo obrigatorio nem D5-formato de codigo; suite nao tem teste relevante para nenhum dos dois).</t>
  </si>
  <si>
    <t xml:space="preserve">ESTATÍSTICAS (discentes)</t>
  </si>
  <si>
    <t xml:space="preserve">Média</t>
  </si>
  <si>
    <t xml:space="preserve">Mediana</t>
  </si>
  <si>
    <t xml:space="preserve">Mínimo</t>
  </si>
  <si>
    <t xml:space="preserve">Máximo</t>
  </si>
  <si>
    <t xml:space="preserve">Desvio-padrão</t>
  </si>
  <si>
    <t xml:space="preserve">Coleta — Payment Methods</t>
  </si>
  <si>
    <t xml:space="preserve">Francicláudio Dantas da Silva</t>
  </si>
  <si>
    <t xml:space="preserve">https://drive.google.com/open?id=1cWpSHQj3uwkVPRVFhO3Ci3DYfQPG-MFE</t>
  </si>
  <si>
    <t xml:space="preserve">6 de 7 smells presentes (falta so espera fixa). Depende fortemente do metodo fixture "Cash on delivery"; suite tem um after() tentando resetar o estado, evidencia de que os proprios autores perceberam poluicao de dados entre testes. Alta duplicacao: fluxo de criacao de metodo offline repetido em 7 dos 11 testes. 2 usos de force:true (checkbox habilitar/desabilitar). Assert em geral forte (checa valores reais, nao so flash), exceto no teste de mudar posicao que so confere mensagem generica. Redundancia: 2 testes parametrizados (forEach) testam a mesma regra de formato de codigo com caracteres invalidos diferentes - contei 1 como redundante (mesma classe de equivalencia invalida, sem logica nova). DETECCAO: 2/2 (100%) - detecta D2-codigo obrigatorio E D6-codigo duplicado, unica suite com cobertura completa de ambos os defeitos Tier1+Tier2 desta funcionalidade.</t>
  </si>
  <si>
    <t xml:space="preserve">Marcos Guillermo de Sá Catão Cosson</t>
  </si>
  <si>
    <t xml:space="preserve">https://drive.google.com/open?id=1svcqyjE13zeFJcJejJe9PZv8Helky3vK</t>
  </si>
  <si>
    <t xml:space="preserve">6 de 7 smells presentes. Pior duplicacao vista ate agora: 2 testes com nome e codigo 100% identicos copiados (instrucoes US), e 3 testes ("Disable"/"Enable"/"Disable Fashion Web Store") executam o mesmo clique de checkbox sem checar estado final - funcionalmente o mesmo teste 3x. Seletor com bug sutil: mistura match exato vs prefixo para o mesmo botao em lugares diferentes. Assert fraco generalizado: nenhum teste confirma estado real do checkbox apos habilitar/desabilitar (diferente da suite anterior). Assume exatamente 2 metodos de pagamento pre-existentes. Redundancia alta: 3 de 11 testes sao efetivamente duplicatas. DETECCAO: 0/2 (nao detecta D2 nem D6; sem teste relevante para nenhum dos dois).</t>
  </si>
  <si>
    <t xml:space="preserve">João Paulo Alves Dantas</t>
  </si>
  <si>
    <t xml:space="preserve">https://drive.google.com/open?id=1bLnlLbdDkoX52EIXxoYKcPFeNmMMdkBa</t>
  </si>
  <si>
    <t xml:space="preserve">5 de 7 smells presentes. Assert provavelmente quebrado no teste de busca: cy.get("tbody").should("have.length", 1) checa quantidade de elementos &lt;tbody&gt; (sempre 1 por tabela), nao quantidade de linhas retornadas pelo filtro - assert que passaria mesmo com filtro quebrado. before() com caminho placeholder nao configurado ("path to your volume..."), sugerindo que o reload de fixtures pode nao estar funcionando de fato. cy.debug() esquecido no codigo. Sem espera fixa nem force. Sem redundancia: testes de remocao (em uso vs nao usado) sao complementares. DETECCAO: 0/2 (nao detecta D2 nem D6; sem teste relevante para nenhum dos dois).</t>
  </si>
  <si>
    <t xml:space="preserve">Lorenna Victória Marinho Lucena</t>
  </si>
  <si>
    <t xml:space="preserve">https://drive.google.com/open?id=1-eyyu8QNkkiXGKyqduQoSfQZBgrZlo5n</t>
  </si>
  <si>
    <t xml:space="preserve">6 de 7 smells presentes. Cadeia de dependencia sequencial elaborada: cria credit_card, deleta, recria o MESMO codigo num gateway diferente (Stripe) - so funciona nessa ordem exata. Maior duplicacao de fluxo de criacao vista (6 repeticoes: offline, bank transfer intl, Stripe, PayPal, cartao alemao). Pontos positivos: cada criacao testa um gateway genuinamente diferente com campos proprios (nao redundante); ultimo teste verifica presenca E ausencia de strings simultaneamente - pratica robusta rara nas suites anteriores. Assert fraco pontual em 2 testes (posicao, estado habilitado). Uso de async/await sem necessidade real (residuo de codigo, nao afeta execucao). DETECCAO: 0/2 (nao detecta D2 nem D6; sem teste relevante para nenhum dos dois).</t>
  </si>
  <si>
    <t xml:space="preserve">Carolina Martins Freitas</t>
  </si>
  <si>
    <t xml:space="preserve">https://drive.google.com/open?id=1EUEmv1rnTb9OwR1ZNt31Bc2P6H-GIymP</t>
  </si>
  <si>
    <t xml:space="preserve">6 de 7 smells presentes. MAIOR REDUNDANCIA DE TODAS AS SUITES ANALISADAS (50%): repete 3 mecanismos identicos em entidades diferentes sem logica nova - mudar posicao (cash/bank/pix, 3x), deletar bloqueado por uso (cash/bank, 2x), desabilitar+editar descricao (pix/cash/bank, 3x). Bug de nomenclatura: teste 5 tem o MESMO NOME do teste 2 ("change bank transfer position") mas o codigo opera sobre "pix" - erro classico de copy-paste sem atualizar nome. Ponto positivo: testes de delecao usam seletor por conteudo da linha (tr.item + contains), mais robusto que posicional. Assert fraco generalizado (so flash message, nunca confirma estado real do campo). DETECCAO: 0/2 (nao detecta D2 nem D6; sem teste relevante para nenhum dos dois).</t>
  </si>
  <si>
    <t xml:space="preserve">Bernard Dantas Odon</t>
  </si>
  <si>
    <t xml:space="preserve">https://drive.google.com/open?id=1B1ZXlOxuej9Qo_apHatmA3mf4laQYSRK</t>
  </si>
  <si>
    <t xml:space="preserve">6 de 7 smells presentes, mas severidade bem menor que as outras suites: apenas 1 dos 11 testes altera dados (mudar posicao), os outros 10 sao smoke-tests de UI (presenca/visibilidade de titulo, colunas, botoes) sem cadeia de dependencia sequencial entre testes - diferente de todas as suites anteriores. Usa timeouts condicionais em vez de cy.wait cego (boa pratica) e cy.contains baseado em conteudo em varios pontos (mais resiliente que posicional). Assert fraco alto: maioria so checa visibilidade/presenca, nao comportamento funcional real. Sem redundancia: testes complementares checando aspectos distintos da mesma tela. Cobertura de risco menor: garante que a tela carrega, mas testa pouco CRUD de ponta a ponta. DETECCAO: 0/2 (nao detecta D2 nem D6; sem teste relevante para nenhum dos dois).</t>
  </si>
  <si>
    <t xml:space="preserve">Coleta — Customers</t>
  </si>
  <si>
    <t xml:space="preserve">Davi Gomes Passos Sousa</t>
  </si>
  <si>
    <t xml:space="preserve">https://drive.google.com/open?id=15oPSuBR6RbViHusYSswvk1RSQGPu_D60</t>
  </si>
  <si>
    <t xml:space="preserve">6 de 7 smells presentes. Espera fixa extrema: cy.wait(500) aparece 2x em cada um dos 10 testes + no beforeEach (~21 ocorrencias) - o pior caso visto ate agora. Seletores nth-child puramente posicionais para checkboxes de desativar/verificar (#user-form &gt; div:nth-child(2) &gt; div). Dependencia de dado critica: teste de atualizar email muda o email para nao conter mais "@gmail", quebrando a busca usada por todos os outros testes se rodar antes deles. Assert uniforme e fraco: todos os 10 testes so checam a flash message generica, nenhum confirma o valor real do campo salvo. Duplicacao extrema do fluxo buscar+editar em todos os testes. Sem redundancia: cada teste mira um campo diferente do cliente. DETECCAO: 0/2 (nao detecta D3 nem D7; sem teste de criacao sem email nem de formato invalido).</t>
  </si>
  <si>
    <t xml:space="preserve">Yovany Marroquin da Cunha</t>
  </si>
  <si>
    <t xml:space="preserve">https://drive.google.com/open?id=1A28UtvxBynnmFuDE8a-wie9a37H3ADah</t>
  </si>
  <si>
    <t xml:space="preserve">4 de 7 smells presentes - empata com a melhor suite de Produtos (Ailton). Diferencial forte: usa comandos customizados (Cypress.Commands.add) que eliminam a duplicacao de codigo presente em todas as outras suites - primeira suite sem esse smell. Dependencia de dado real: cliente "leo dantas" criado em 1 teste e reutilizado em pelo menos 3 testes posteriores (cadeia sequencial). Assert geralmente forte e especifico (nome+email+telefone juntos, texto interpolado dinamicamente, estado de checkbox), exceto 1 instancia fraca (atualizar telefone so confere flash generica). Sem espera fixa, sem force. Sem redundancia: testes de busca cobrem tipos distintos (contains vs ends_with), testes do mesmo cliente cobrem aspectos complementares. DETECCAO: 1/2 (50%) - detecta D3-email obrigatorio (assert generico de erro falhou corretamente), mas nao detecta D7-formato de email (sem teste de formato invalido).</t>
  </si>
  <si>
    <t xml:space="preserve">Maria Luisa Moraes Monteiro Dantas</t>
  </si>
  <si>
    <t xml:space="preserve">https://drive.google.com/open?id=1mRp21VczN5mq3mg21M6oQ9_5Im5_cEyb</t>
  </si>
  <si>
    <t xml:space="preserve">EXCLUIDA DO CALCULO: confirmado via planilha de submissoes originais que Yovany Marroquin da Cunha (linha 7) e Maria Luisa Moraes Monteiro Dantas sao a MESMA dupla (parceiros um do outro no formulario de entrega), nao duas duplas distintas. O formulario foi preenchido duas vezes (uma por cada integrante), gerando 2 linhas na lista original para o mesmo trabalho - commands.js e estrutura de teste identicos confirmam. Mantida a analise da linha 7 (Yovany) como representante unica desta dupla; linha 8 preservada apenas para registro/rastreabilidade, sem entrar nas medias/medianas/desvio-padrao.</t>
  </si>
  <si>
    <t xml:space="preserve">Lívia Aniely de Oliveira Almeida</t>
  </si>
  <si>
    <t xml:space="preserve">https://drive.google.com/open?id=1OQqLjIu9nY_RGyQOOmfMxkxiEyFp2RjK</t>
  </si>
  <si>
    <t xml:space="preserve">5 de 7 smells presentes. Usa funcoes auxiliares locais (filterCostumer, admCreateCustomer, costumerRegisterThemself, customerLogin) eliminando duplicacao no arquivo de teste - boa pratica. BUG REAL ENCONTRADO: teste t9 busca "mcastrom@gmail.com" (m extra) mas o cliente foi registrado no teste t8 como "mcastro@gmail.com" - typo faz a busca nao encontrar o cliente correto, teste provavelmente opera sobre lista vazia/errada sem que ninguem tenha percebido. 2 usos de force:true (checkboxes de criar usuario/habilitar). Assert fraco pontual (telefone). Sem redundancia: testes de email duplicado via edicao vs criacao sao complementares (caminhos de codigo diferentes). DETECCAO: 1/2 (50%) - detecta D3-email obrigatorio (assert especifico "Please enter your email" falhou corretamente), mas nao detecta D7-formato de email (sem teste de formato invalido).</t>
  </si>
  <si>
    <t xml:space="preserve">Vinicius Furtado de Holanda</t>
  </si>
  <si>
    <t xml:space="preserve">https://drive.google.com/open?id=1MnaLoxd1LTPsXQbbvcM98aYJZ9N4Uzjl</t>
  </si>
  <si>
    <t xml:space="preserve">5 de 7 smells presentes. Segue o MESMO esqueleto da suite do Davi (2022.2): buscar @gmail, clicar no ultimo resultado, editar 1 campo por teste, salvar, conferir flash generica - 10 testes identicos em estrutura. Diferenca: sem cy.wait() nenhum (Davi tinha ~21 ocorrencias) - unica melhoria real. Dependencia de dado: email alterado para "bobmarley@gmail.com" ainda contem "@gmail" (diferente do bug do Davi que quebrava a busca). Assert uniforme fraco em todos os 10 testes. Duplicacao extrema do bloco buscar+editar. Sem redundancia: cada teste mira campo diferente. NOTA: alta similaridade estrutural com suite do Davi (semestre diferente, 2024.1 vs 2022.2) - possivel template compartilhado entre turmas ao longo do tempo, relevante para ameacas a validade. DETECCAO: 0/2 (nao detecta D3 nem D7; sem teste relevante para nenhum dos dois).</t>
  </si>
  <si>
    <t xml:space="preserve">Suelen Samara da Silva Felix</t>
  </si>
  <si>
    <t xml:space="preserve">https://drive.google.com/open?id=1HrrYphgJqTrS8TklDvLYyroH2AD64MXJ</t>
  </si>
  <si>
    <t xml:space="preserve">6 de 7 smells presentes. MAIOR VOLUME DE ESPERA FIXA visto ate agora (mais de 20 cy.wait() espalhados). Dependencia de dado mais elaborada de todas as suites: cadeia atravessa 3 describe blocks distintos (registro publico -&gt; administracao -&gt; login), suite so funciona rodando do inicio ao fim em ordem. Cliente Jobson Silva criado e reutilizado em 5 testes seguintes (buscar, credenciais, impersonar, pedidos, deletar). Ponto positivo isolado: usa genEmail() para evitar colisao de email duplicado na criacao - pratica consciente. Assert com pontos fortes (checa valor real de campo grupo, conteudo de celulas por posicao) mas ainda com varios flash-only. Sem redundancia: testes de conceder credenciais tem contextos de entrada genuinamente diferentes (self-registro vs criado por admin sem conta). DETECCAO: 0/2 (nao detecta D3 nem D7; sem teste relevante para nenhum dos dois).</t>
  </si>
  <si>
    <t xml:space="preserve">Coleta — Shipping Methods</t>
  </si>
  <si>
    <t xml:space="preserve">Felipe Oliveira da Silva</t>
  </si>
  <si>
    <t xml:space="preserve">https://drive.google.com/open?id=195wtv1MQDYt7DZ-yZW4Fi6VGkPB0ImuG</t>
  </si>
  <si>
    <t xml:space="preserve">5 de 7 smells presentes. ACHADO IMPORTANTE: teste 7 usa URL absoluta com porta 8080 hardcoded (cy.url().should("eq", "http://localhost:8080/...")), diferente da porta 9990 do ambiente Docker deste projeto - esse teste provavelmente falha de cara no ambiente atual, independente de qualquer defeito injetado (relevante para dias 4-5). Assume fixtures exatas (1 resultado no filtro, 2 no total, posicoes iniciais 0/2). Assert fraco nos testes CRUD (mudar valor, regra, arquivar, criar, deletar - so flash generica), mas forte nos testes de filtro/ordenacao (valores exatos de celula e contagem). Duplicacao: teste 2 repete o mesmo bloco 2x dentro de si mesmo (desabilita depois reabilita). REDUNDANCIA: teste 9 copia verbatim o corpo inteiro do teste 8 como preambulo antes de adicionar o passo de limpar filtros - 1 caso claro de redundancia (10%). DETECCAO: 0/2 (nao detecta D4-codigo obrigatorio nem D8-valor negativo; sem teste relevante para nenhum dos dois).</t>
  </si>
  <si>
    <t xml:space="preserve">Ícaro Chagas de Almeida</t>
  </si>
  <si>
    <t xml:space="preserve">https://drive.google.com/open?id=1yVZVvuvSA6t7A4I-TH4B3JdMf5age4cP</t>
  </si>
  <si>
    <t xml:space="preserve">EXCLUIDA DO CALCULO DE QUALIDADE: confirmado que o arquivo e o STARTER KIT/TEMPLATE ORIGINAL do professor, sem nenhuma implementacao real da dupla - o unico teste presente ja vinha pronto no boilerplate, apenas envolvido em it.only(). Os outros 2 blocos ("test case 2", "test case 3") continuam vazios com comentario placeholder, e o comentario final do template ("Implement the remaining test cases in a similar manner") nao foi apagado. Excluida das metricas de smells/redundancia porque os "3 de 7 smells" pertencem ao codigo do PROFESSOR, nao a uma decisao de teste da dupla - inclui-la enviesaria a media medindo o codigo errado. RECOMENDACAO: registrar separadamente no artigo como taxa de conclusao do exercicio (ex.: X de 24 duplas nao entregaram suite funcional), fora da metrica de qualidade.</t>
  </si>
  <si>
    <t xml:space="preserve">Wendell Rafael Oliveira Nascimento</t>
  </si>
  <si>
    <t xml:space="preserve">https://drive.google.com/open?id=1m6fuxBMmI_bfKGz7ZMmMvXD3Z3GgbYlV</t>
  </si>
  <si>
    <t xml:space="preserve">5 de 7 smells presentes. MULTIPLOS BUGS DE NOMENCLATURA ENCONTRADOS: teste 4 se chama "...regra de peso" mas nao adiciona regra nenhuma e seleciona taxCategory "other" (nao "clothing" como o nome sugere); teste 11 tem titulo IDENTICO ao teste 4 mas de fato implementa a regra de peso - dois testes com mesmo nome, so um cumprindo a promessa. Teste 4 e redundante com o teste 3 (mesma configuracao real: zona US, taxa other, calculo por unidade). Testes 9 e 10 NAO TEM ASSERCAO FINAL NENHUMA - executam acoes sem verificar resultado. IDs de shipping method hardcoded na URL (/2/edit, /1/archive). Teste de deletar depende condicionalmente de haver mais de 2 formularios na pagina (dependencia sequencial explicita do estado acumulado por testes anteriores). Duplicacao alta: fluxo de criacao repetido em 6 dos 11 testes. DETECCAO: 0/2 (nao detecta D4 nem D8; tem teste de codigo duplicado mas isso nao foi o defeito injetado nesta funcionalidade - Tier2 aqui foi valor negativo, nao duplicidade).</t>
  </si>
  <si>
    <t xml:space="preserve">Evaldo Alves de Brito Júnior</t>
  </si>
  <si>
    <t xml:space="preserve">https://drive.google.com/open?id=1_12YvTAA5BbOejHHaIKdjv5Kl-z9GYkS</t>
  </si>
  <si>
    <t xml:space="preserve">5 de 7 smells presentes - uma das suites de melhor qualidade estrutural da coleta inteira, junto com a do Ailton (Produtos). Cobre ciclo de vida completo de um metodo (criar-&gt;editar/regra-&gt;arquivar-&gt;restaurar-&gt;deletar) de forma deliberada e progressiva, mais uma jornada intencional que uma falha de design, apesar de contar como dependencia de dado. 3 cenarios de erro distintos testados (codigo duplicado, valor invalido, campo obrigatorio ausente) - boa cobertura positiva+negativa. Assert fraco pontual: os 3 testes de erro usam a mesma mensagem generica "This form contains errors." sem diferenciar a regra violada. Duplicacao moderada nos fluxos de busca+edicao e criacao. Sem redundancia: testes de duplicado/invalido/ausente cobrem regras de validacao genuinamente distintas. DETECCAO: 0/2 (nao detecta D4 nem D8; testa valor INVALIDO/nao-numerico mas nao especificamente valor NEGATIVO - classe de equivalencia diferente).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</si>
</sst>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C8A"/>
        <bgColor rgb="FF555555"/>
      </patternFill>
    </fill>
    <fill>
      <patternFill patternType="solid">
        <fgColor rgb="FFD5E8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5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18"/>
  </cols>
  <sheetData>
    <row r="1" customFormat="false" ht="95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n">
        <v>8</v>
      </c>
      <c r="C5" s="7" t="n">
        <f aca="false">Produtos!D16</f>
        <v>0</v>
      </c>
      <c r="D5" s="8" t="n">
        <v>1</v>
      </c>
      <c r="E5" s="9" t="n">
        <f aca="false">Produtos!E16</f>
        <v>5.375</v>
      </c>
      <c r="F5" s="7" t="n">
        <f aca="false">Produtos!F16</f>
        <v>0.0340875</v>
      </c>
      <c r="G5" s="8" t="n">
        <v>0</v>
      </c>
    </row>
    <row r="6" customFormat="false" ht="15" hidden="false" customHeight="true" outlineLevel="0" collapsed="false">
      <c r="A6" s="5" t="s">
        <v>10</v>
      </c>
      <c r="B6" s="6" t="n">
        <v>6</v>
      </c>
      <c r="C6" s="7" t="n">
        <f aca="false">'Payment Methods'!D14</f>
        <v>0.166666666666667</v>
      </c>
      <c r="D6" s="8" t="n">
        <v>1</v>
      </c>
      <c r="E6" s="9" t="n">
        <f aca="false">'Payment Methods'!E14</f>
        <v>5.83333333333333</v>
      </c>
      <c r="F6" s="7" t="n">
        <f aca="false">'Payment Methods'!F14</f>
        <v>0.143933333333333</v>
      </c>
      <c r="G6" s="8" t="n">
        <v>0</v>
      </c>
    </row>
    <row r="7" customFormat="false" ht="15" hidden="false" customHeight="true" outlineLevel="0" collapsed="false">
      <c r="A7" s="5" t="s">
        <v>11</v>
      </c>
      <c r="B7" s="6" t="n">
        <v>6</v>
      </c>
      <c r="C7" s="7" t="n">
        <f aca="false">Customers!D14</f>
        <v>0.2</v>
      </c>
      <c r="D7" s="8" t="n">
        <v>1</v>
      </c>
      <c r="E7" s="9" t="n">
        <f aca="false">Customers!E14</f>
        <v>5.2</v>
      </c>
      <c r="F7" s="7" t="n">
        <f aca="false">Customers!F14</f>
        <v>0</v>
      </c>
      <c r="G7" s="8" t="n">
        <v>0</v>
      </c>
    </row>
    <row r="8" customFormat="false" ht="15" hidden="false" customHeight="true" outlineLevel="0" collapsed="false">
      <c r="A8" s="5" t="s">
        <v>12</v>
      </c>
      <c r="B8" s="6" t="n">
        <v>4</v>
      </c>
      <c r="C8" s="7" t="n">
        <f aca="false">'Shipping Methods'!D12</f>
        <v>0</v>
      </c>
      <c r="D8" s="8" t="n">
        <v>1</v>
      </c>
      <c r="E8" s="9" t="n">
        <f aca="false">'Shipping Methods'!E12</f>
        <v>5</v>
      </c>
      <c r="F8" s="7" t="n">
        <f aca="false">'Shipping Methods'!F12</f>
        <v>0.0636333333333333</v>
      </c>
      <c r="G8" s="8" t="n">
        <v>0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32"/>
  </cols>
  <sheetData>
    <row r="1" customFormat="false" ht="63.75" hidden="false" customHeight="true" outlineLevel="0" collapsed="false">
      <c r="A1" s="2" t="s">
        <v>13</v>
      </c>
    </row>
    <row r="2" customFormat="false" ht="21.75" hidden="false" customHeight="true" outlineLevel="0" collapsed="false">
      <c r="A2" s="3" t="s">
        <v>14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customFormat="false" ht="15" hidden="false" customHeight="true" outlineLevel="0" collapsed="false">
      <c r="A5" s="6" t="s">
        <v>23</v>
      </c>
      <c r="B5" s="10" t="s">
        <v>24</v>
      </c>
      <c r="C5" s="11" t="s">
        <v>23</v>
      </c>
      <c r="D5" s="12" t="n">
        <v>1</v>
      </c>
      <c r="E5" s="11" t="n">
        <v>0</v>
      </c>
      <c r="F5" s="12" t="n">
        <v>0</v>
      </c>
      <c r="G5" s="11"/>
      <c r="H5" s="13" t="s">
        <v>25</v>
      </c>
    </row>
    <row r="6" customFormat="false" ht="57" hidden="false" customHeight="true" outlineLevel="0" collapsed="false">
      <c r="A6" s="6" t="s">
        <v>26</v>
      </c>
      <c r="B6" s="14" t="s">
        <v>27</v>
      </c>
      <c r="C6" s="14" t="s">
        <v>28</v>
      </c>
      <c r="D6" s="15" t="n">
        <v>0</v>
      </c>
      <c r="E6" s="16" t="n">
        <v>7</v>
      </c>
      <c r="F6" s="15" t="n">
        <v>0</v>
      </c>
      <c r="G6" s="16" t="n">
        <v>10</v>
      </c>
      <c r="H6" s="14" t="s">
        <v>29</v>
      </c>
    </row>
    <row r="7" customFormat="false" ht="57" hidden="false" customHeight="true" outlineLevel="0" collapsed="false">
      <c r="A7" s="6" t="s">
        <v>26</v>
      </c>
      <c r="B7" s="14" t="s">
        <v>30</v>
      </c>
      <c r="C7" s="14" t="s">
        <v>31</v>
      </c>
      <c r="D7" s="15" t="n">
        <v>0</v>
      </c>
      <c r="E7" s="16" t="n">
        <v>5</v>
      </c>
      <c r="F7" s="15" t="n">
        <v>0</v>
      </c>
      <c r="G7" s="16" t="n">
        <v>10</v>
      </c>
      <c r="H7" s="14" t="s">
        <v>32</v>
      </c>
    </row>
    <row r="8" customFormat="false" ht="45.75" hidden="false" customHeight="true" outlineLevel="0" collapsed="false">
      <c r="A8" s="6" t="s">
        <v>33</v>
      </c>
      <c r="B8" s="14" t="s">
        <v>34</v>
      </c>
      <c r="C8" s="14" t="s">
        <v>35</v>
      </c>
      <c r="D8" s="15" t="n">
        <v>0</v>
      </c>
      <c r="E8" s="16" t="n">
        <v>5</v>
      </c>
      <c r="F8" s="15" t="n">
        <v>0</v>
      </c>
      <c r="G8" s="16" t="n">
        <v>10</v>
      </c>
      <c r="H8" s="14" t="s">
        <v>36</v>
      </c>
    </row>
    <row r="9" customFormat="false" ht="45.75" hidden="false" customHeight="true" outlineLevel="0" collapsed="false">
      <c r="A9" s="6" t="s">
        <v>33</v>
      </c>
      <c r="B9" s="14" t="s">
        <v>37</v>
      </c>
      <c r="C9" s="14" t="s">
        <v>38</v>
      </c>
      <c r="D9" s="15" t="n">
        <v>0</v>
      </c>
      <c r="E9" s="16" t="n">
        <v>5</v>
      </c>
      <c r="F9" s="15" t="n">
        <v>0</v>
      </c>
      <c r="G9" s="16" t="n">
        <v>8</v>
      </c>
      <c r="H9" s="14" t="s">
        <v>39</v>
      </c>
    </row>
    <row r="10" customFormat="false" ht="45.75" hidden="false" customHeight="true" outlineLevel="0" collapsed="false">
      <c r="A10" s="6" t="s">
        <v>40</v>
      </c>
      <c r="B10" s="14" t="s">
        <v>41</v>
      </c>
      <c r="C10" s="14" t="s">
        <v>42</v>
      </c>
      <c r="D10" s="15" t="n">
        <v>0</v>
      </c>
      <c r="E10" s="16" t="n">
        <v>5</v>
      </c>
      <c r="F10" s="15" t="n">
        <v>0.2727</v>
      </c>
      <c r="G10" s="16" t="n">
        <v>11</v>
      </c>
      <c r="H10" s="14" t="s">
        <v>43</v>
      </c>
    </row>
    <row r="11" customFormat="false" ht="45.75" hidden="false" customHeight="true" outlineLevel="0" collapsed="false">
      <c r="A11" s="6" t="s">
        <v>40</v>
      </c>
      <c r="B11" s="14" t="s">
        <v>44</v>
      </c>
      <c r="C11" s="14" t="s">
        <v>45</v>
      </c>
      <c r="D11" s="15" t="n">
        <v>0</v>
      </c>
      <c r="E11" s="16" t="n">
        <v>5</v>
      </c>
      <c r="F11" s="15" t="n">
        <v>0</v>
      </c>
      <c r="G11" s="16" t="n">
        <v>6</v>
      </c>
      <c r="H11" s="14" t="s">
        <v>46</v>
      </c>
    </row>
    <row r="12" customFormat="false" ht="45.75" hidden="false" customHeight="true" outlineLevel="0" collapsed="false">
      <c r="A12" s="6" t="s">
        <v>47</v>
      </c>
      <c r="B12" s="14" t="s">
        <v>48</v>
      </c>
      <c r="C12" s="14" t="s">
        <v>49</v>
      </c>
      <c r="D12" s="15" t="n">
        <v>0</v>
      </c>
      <c r="E12" s="16" t="n">
        <v>7</v>
      </c>
      <c r="F12" s="15" t="n">
        <v>0</v>
      </c>
      <c r="G12" s="16" t="n">
        <v>10</v>
      </c>
      <c r="H12" s="14" t="s">
        <v>50</v>
      </c>
    </row>
    <row r="13" customFormat="false" ht="45.75" hidden="false" customHeight="true" outlineLevel="0" collapsed="false">
      <c r="A13" s="6" t="s">
        <v>51</v>
      </c>
      <c r="B13" s="14" t="s">
        <v>52</v>
      </c>
      <c r="C13" s="14" t="s">
        <v>53</v>
      </c>
      <c r="D13" s="15" t="n">
        <v>0</v>
      </c>
      <c r="E13" s="16" t="n">
        <v>4</v>
      </c>
      <c r="F13" s="15" t="n">
        <v>0</v>
      </c>
      <c r="G13" s="16" t="n">
        <v>7</v>
      </c>
      <c r="H13" s="14" t="s">
        <v>54</v>
      </c>
    </row>
    <row r="15" customFormat="false" ht="15" hidden="false" customHeight="true" outlineLevel="0" collapsed="false">
      <c r="A15" s="17"/>
      <c r="B15" s="18" t="s">
        <v>55</v>
      </c>
      <c r="C15" s="17"/>
      <c r="D15" s="17"/>
      <c r="E15" s="17"/>
      <c r="F15" s="17"/>
      <c r="G15" s="17"/>
      <c r="H15" s="17"/>
    </row>
    <row r="16" customFormat="false" ht="15" hidden="false" customHeight="true" outlineLevel="0" collapsed="false">
      <c r="A16" s="17"/>
      <c r="B16" s="5" t="s">
        <v>56</v>
      </c>
      <c r="C16" s="17"/>
      <c r="D16" s="19" t="n">
        <f aca="false">AVERAGE(D6:D13)</f>
        <v>0</v>
      </c>
      <c r="E16" s="20" t="n">
        <f aca="false">AVERAGE(E6:E13)</f>
        <v>5.375</v>
      </c>
      <c r="F16" s="19" t="n">
        <f aca="false">AVERAGE(F6:F13)</f>
        <v>0.0340875</v>
      </c>
      <c r="G16" s="17"/>
      <c r="H16" s="17"/>
    </row>
    <row r="17" customFormat="false" ht="15" hidden="false" customHeight="true" outlineLevel="0" collapsed="false">
      <c r="A17" s="17"/>
      <c r="B17" s="5" t="s">
        <v>57</v>
      </c>
      <c r="C17" s="17"/>
      <c r="D17" s="19" t="n">
        <f aca="false">MEDIAN(D6:D13)</f>
        <v>0</v>
      </c>
      <c r="E17" s="20" t="n">
        <f aca="false">MEDIAN(E6:E13)</f>
        <v>5</v>
      </c>
      <c r="F17" s="19" t="n">
        <f aca="false">MEDIAN(F6:F13)</f>
        <v>0</v>
      </c>
      <c r="G17" s="17"/>
      <c r="H17" s="17"/>
    </row>
    <row r="18" customFormat="false" ht="15" hidden="false" customHeight="true" outlineLevel="0" collapsed="false">
      <c r="A18" s="17"/>
      <c r="B18" s="5" t="s">
        <v>58</v>
      </c>
      <c r="C18" s="17"/>
      <c r="D18" s="19" t="n">
        <f aca="false">MIN(D6:D13)</f>
        <v>0</v>
      </c>
      <c r="E18" s="20" t="n">
        <f aca="false">MIN(E6:E13)</f>
        <v>4</v>
      </c>
      <c r="F18" s="19" t="n">
        <f aca="false">MIN(F6:F13)</f>
        <v>0</v>
      </c>
      <c r="G18" s="17"/>
      <c r="H18" s="17"/>
    </row>
    <row r="19" customFormat="false" ht="15" hidden="false" customHeight="true" outlineLevel="0" collapsed="false">
      <c r="A19" s="17"/>
      <c r="B19" s="5" t="s">
        <v>59</v>
      </c>
      <c r="C19" s="17"/>
      <c r="D19" s="19" t="n">
        <f aca="false">MAX(D6:D13)</f>
        <v>0</v>
      </c>
      <c r="E19" s="20" t="n">
        <f aca="false">MAX(E6:E13)</f>
        <v>7</v>
      </c>
      <c r="F19" s="19" t="n">
        <f aca="false">MAX(F6:F13)</f>
        <v>0.2727</v>
      </c>
      <c r="G19" s="17"/>
      <c r="H19" s="17"/>
    </row>
    <row r="20" customFormat="false" ht="15" hidden="false" customHeight="true" outlineLevel="0" collapsed="false">
      <c r="A20" s="17"/>
      <c r="B20" s="5" t="s">
        <v>60</v>
      </c>
      <c r="C20" s="17"/>
      <c r="D20" s="19" t="n">
        <f aca="false">STDEV(D6:D13)</f>
        <v>0</v>
      </c>
      <c r="E20" s="20" t="n">
        <f aca="false">STDEV(E6:E13)</f>
        <v>1.06066017177982</v>
      </c>
      <c r="F20" s="19" t="n">
        <f aca="false">STDEV(F6:F13)</f>
        <v>0.0964140096147858</v>
      </c>
      <c r="G20" s="17"/>
      <c r="H20" s="17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32"/>
  </cols>
  <sheetData>
    <row r="1" customFormat="false" ht="95.25" hidden="false" customHeight="true" outlineLevel="0" collapsed="false">
      <c r="A1" s="2" t="s">
        <v>61</v>
      </c>
    </row>
    <row r="2" customFormat="false" ht="21.75" hidden="false" customHeight="true" outlineLevel="0" collapsed="false">
      <c r="A2" s="3" t="s">
        <v>14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customFormat="false" ht="15" hidden="false" customHeight="true" outlineLevel="0" collapsed="false">
      <c r="A5" s="6" t="s">
        <v>23</v>
      </c>
      <c r="B5" s="10" t="s">
        <v>24</v>
      </c>
      <c r="C5" s="11" t="s">
        <v>23</v>
      </c>
      <c r="D5" s="12" t="n">
        <v>1</v>
      </c>
      <c r="E5" s="11" t="n">
        <v>0</v>
      </c>
      <c r="F5" s="12" t="n">
        <v>0</v>
      </c>
      <c r="G5" s="11"/>
      <c r="H5" s="13" t="s">
        <v>25</v>
      </c>
    </row>
    <row r="6" customFormat="false" ht="57" hidden="false" customHeight="true" outlineLevel="0" collapsed="false">
      <c r="A6" s="6" t="s">
        <v>26</v>
      </c>
      <c r="B6" s="14" t="s">
        <v>62</v>
      </c>
      <c r="C6" s="14" t="s">
        <v>63</v>
      </c>
      <c r="D6" s="15" t="n">
        <v>1</v>
      </c>
      <c r="E6" s="16" t="n">
        <v>6</v>
      </c>
      <c r="F6" s="15" t="n">
        <v>0.0909</v>
      </c>
      <c r="G6" s="16" t="n">
        <v>11</v>
      </c>
      <c r="H6" s="14" t="s">
        <v>64</v>
      </c>
    </row>
    <row r="7" customFormat="false" ht="45.75" hidden="false" customHeight="true" outlineLevel="0" collapsed="false">
      <c r="A7" s="6" t="s">
        <v>33</v>
      </c>
      <c r="B7" s="14" t="s">
        <v>65</v>
      </c>
      <c r="C7" s="14" t="s">
        <v>66</v>
      </c>
      <c r="D7" s="15" t="n">
        <v>0</v>
      </c>
      <c r="E7" s="16" t="n">
        <v>6</v>
      </c>
      <c r="F7" s="15" t="n">
        <v>0.2727</v>
      </c>
      <c r="G7" s="16" t="n">
        <v>11</v>
      </c>
      <c r="H7" s="14" t="s">
        <v>67</v>
      </c>
    </row>
    <row r="8" customFormat="false" ht="45.75" hidden="false" customHeight="true" outlineLevel="0" collapsed="false">
      <c r="A8" s="6" t="s">
        <v>40</v>
      </c>
      <c r="B8" s="14" t="s">
        <v>68</v>
      </c>
      <c r="C8" s="14" t="s">
        <v>69</v>
      </c>
      <c r="D8" s="15" t="n">
        <v>0</v>
      </c>
      <c r="E8" s="16" t="n">
        <v>5</v>
      </c>
      <c r="F8" s="15" t="n">
        <v>0</v>
      </c>
      <c r="G8" s="16" t="n">
        <v>10</v>
      </c>
      <c r="H8" s="14" t="s">
        <v>70</v>
      </c>
    </row>
    <row r="9" customFormat="false" ht="57" hidden="false" customHeight="true" outlineLevel="0" collapsed="false">
      <c r="A9" s="6" t="s">
        <v>40</v>
      </c>
      <c r="B9" s="14" t="s">
        <v>71</v>
      </c>
      <c r="C9" s="14" t="s">
        <v>72</v>
      </c>
      <c r="D9" s="15" t="n">
        <v>0</v>
      </c>
      <c r="E9" s="16" t="n">
        <v>6</v>
      </c>
      <c r="F9" s="15" t="n">
        <v>0</v>
      </c>
      <c r="G9" s="16" t="n">
        <v>10</v>
      </c>
      <c r="H9" s="14" t="s">
        <v>73</v>
      </c>
    </row>
    <row r="10" customFormat="false" ht="45.75" hidden="false" customHeight="true" outlineLevel="0" collapsed="false">
      <c r="A10" s="6" t="s">
        <v>47</v>
      </c>
      <c r="B10" s="14" t="s">
        <v>74</v>
      </c>
      <c r="C10" s="14" t="s">
        <v>75</v>
      </c>
      <c r="D10" s="15" t="n">
        <v>0</v>
      </c>
      <c r="E10" s="16" t="n">
        <v>6</v>
      </c>
      <c r="F10" s="15" t="n">
        <v>0.5</v>
      </c>
      <c r="G10" s="16" t="n">
        <v>10</v>
      </c>
      <c r="H10" s="14" t="s">
        <v>76</v>
      </c>
    </row>
    <row r="11" customFormat="false" ht="45.75" hidden="false" customHeight="true" outlineLevel="0" collapsed="false">
      <c r="A11" s="6" t="s">
        <v>51</v>
      </c>
      <c r="B11" s="14" t="s">
        <v>77</v>
      </c>
      <c r="C11" s="14" t="s">
        <v>78</v>
      </c>
      <c r="D11" s="15" t="n">
        <v>0</v>
      </c>
      <c r="E11" s="16" t="n">
        <v>6</v>
      </c>
      <c r="F11" s="15" t="n">
        <v>0</v>
      </c>
      <c r="G11" s="16" t="n">
        <v>11</v>
      </c>
      <c r="H11" s="14" t="s">
        <v>79</v>
      </c>
    </row>
    <row r="13" customFormat="false" ht="15" hidden="false" customHeight="true" outlineLevel="0" collapsed="false">
      <c r="A13" s="17"/>
      <c r="B13" s="18" t="s">
        <v>55</v>
      </c>
      <c r="C13" s="17"/>
      <c r="D13" s="17"/>
      <c r="E13" s="17"/>
      <c r="F13" s="17"/>
      <c r="G13" s="17"/>
      <c r="H13" s="17"/>
    </row>
    <row r="14" customFormat="false" ht="15" hidden="false" customHeight="true" outlineLevel="0" collapsed="false">
      <c r="A14" s="17"/>
      <c r="B14" s="5" t="s">
        <v>56</v>
      </c>
      <c r="C14" s="17"/>
      <c r="D14" s="19" t="n">
        <f aca="false">AVERAGE(D6:D11)</f>
        <v>0.166666666666667</v>
      </c>
      <c r="E14" s="20" t="n">
        <f aca="false">AVERAGE(E6:E11)</f>
        <v>5.83333333333333</v>
      </c>
      <c r="F14" s="19" t="n">
        <f aca="false">AVERAGE(F6:F11)</f>
        <v>0.143933333333333</v>
      </c>
      <c r="G14" s="17"/>
      <c r="H14" s="17"/>
    </row>
    <row r="15" customFormat="false" ht="15" hidden="false" customHeight="true" outlineLevel="0" collapsed="false">
      <c r="A15" s="17"/>
      <c r="B15" s="5" t="s">
        <v>57</v>
      </c>
      <c r="C15" s="17"/>
      <c r="D15" s="19" t="n">
        <f aca="false">MEDIAN(D6:D11)</f>
        <v>0</v>
      </c>
      <c r="E15" s="20" t="n">
        <f aca="false">MEDIAN(E6:E11)</f>
        <v>6</v>
      </c>
      <c r="F15" s="19" t="n">
        <f aca="false">MEDIAN(F6:F11)</f>
        <v>0.04545</v>
      </c>
      <c r="G15" s="17"/>
      <c r="H15" s="17"/>
    </row>
    <row r="16" customFormat="false" ht="15" hidden="false" customHeight="true" outlineLevel="0" collapsed="false">
      <c r="A16" s="17"/>
      <c r="B16" s="5" t="s">
        <v>58</v>
      </c>
      <c r="C16" s="17"/>
      <c r="D16" s="19" t="n">
        <f aca="false">MIN(D6:D11)</f>
        <v>0</v>
      </c>
      <c r="E16" s="20" t="n">
        <f aca="false">MIN(E6:E11)</f>
        <v>5</v>
      </c>
      <c r="F16" s="19" t="n">
        <f aca="false">MIN(F6:F11)</f>
        <v>0</v>
      </c>
      <c r="G16" s="17"/>
      <c r="H16" s="17"/>
    </row>
    <row r="17" customFormat="false" ht="15" hidden="false" customHeight="true" outlineLevel="0" collapsed="false">
      <c r="A17" s="17"/>
      <c r="B17" s="5" t="s">
        <v>59</v>
      </c>
      <c r="C17" s="17"/>
      <c r="D17" s="19" t="n">
        <f aca="false">MAX(D6:D11)</f>
        <v>1</v>
      </c>
      <c r="E17" s="20" t="n">
        <f aca="false">MAX(E6:E11)</f>
        <v>6</v>
      </c>
      <c r="F17" s="19" t="n">
        <f aca="false">MAX(F6:F11)</f>
        <v>0.5</v>
      </c>
      <c r="G17" s="17"/>
      <c r="H17" s="17"/>
    </row>
    <row r="18" customFormat="false" ht="15" hidden="false" customHeight="true" outlineLevel="0" collapsed="false">
      <c r="A18" s="17"/>
      <c r="B18" s="5" t="s">
        <v>60</v>
      </c>
      <c r="C18" s="17"/>
      <c r="D18" s="19" t="n">
        <f aca="false">STDEV(D6:D11)</f>
        <v>0.408248290463863</v>
      </c>
      <c r="E18" s="20" t="n">
        <f aca="false">STDEV(E6:E11)</f>
        <v>0.408248290463863</v>
      </c>
      <c r="F18" s="19" t="n">
        <f aca="false">STDEV(F6:F11)</f>
        <v>0.204121176428774</v>
      </c>
      <c r="G18" s="17"/>
      <c r="H18" s="17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32"/>
  </cols>
  <sheetData>
    <row r="1" customFormat="false" ht="63.75" hidden="false" customHeight="true" outlineLevel="0" collapsed="false">
      <c r="A1" s="2" t="s">
        <v>80</v>
      </c>
    </row>
    <row r="2" customFormat="false" ht="21.75" hidden="false" customHeight="true" outlineLevel="0" collapsed="false">
      <c r="A2" s="3" t="s">
        <v>14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customFormat="false" ht="15" hidden="false" customHeight="true" outlineLevel="0" collapsed="false">
      <c r="A5" s="6" t="s">
        <v>23</v>
      </c>
      <c r="B5" s="10" t="s">
        <v>24</v>
      </c>
      <c r="C5" s="11" t="s">
        <v>23</v>
      </c>
      <c r="D5" s="12" t="n">
        <v>1</v>
      </c>
      <c r="E5" s="11" t="n">
        <v>0</v>
      </c>
      <c r="F5" s="12" t="n">
        <v>0</v>
      </c>
      <c r="G5" s="11"/>
      <c r="H5" s="13" t="s">
        <v>25</v>
      </c>
    </row>
    <row r="6" customFormat="false" ht="57" hidden="false" customHeight="true" outlineLevel="0" collapsed="false">
      <c r="A6" s="6" t="s">
        <v>26</v>
      </c>
      <c r="B6" s="14" t="s">
        <v>81</v>
      </c>
      <c r="C6" s="14" t="s">
        <v>82</v>
      </c>
      <c r="D6" s="15" t="n">
        <v>0</v>
      </c>
      <c r="E6" s="16" t="n">
        <v>6</v>
      </c>
      <c r="F6" s="15" t="n">
        <v>0</v>
      </c>
      <c r="G6" s="16" t="n">
        <v>10</v>
      </c>
      <c r="H6" s="14" t="s">
        <v>83</v>
      </c>
    </row>
    <row r="7" customFormat="false" ht="45.75" hidden="false" customHeight="true" outlineLevel="0" collapsed="false">
      <c r="A7" s="6" t="s">
        <v>33</v>
      </c>
      <c r="B7" s="14" t="s">
        <v>84</v>
      </c>
      <c r="C7" s="14" t="s">
        <v>85</v>
      </c>
      <c r="D7" s="15" t="n">
        <v>0.5</v>
      </c>
      <c r="E7" s="16" t="n">
        <v>4</v>
      </c>
      <c r="F7" s="15" t="n">
        <v>0</v>
      </c>
      <c r="G7" s="16" t="n">
        <v>11</v>
      </c>
      <c r="H7" s="14" t="s">
        <v>86</v>
      </c>
    </row>
    <row r="8" customFormat="false" ht="57" hidden="false" customHeight="true" outlineLevel="0" collapsed="false">
      <c r="A8" s="6" t="s">
        <v>33</v>
      </c>
      <c r="B8" s="14" t="s">
        <v>87</v>
      </c>
      <c r="C8" s="14" t="s">
        <v>88</v>
      </c>
      <c r="D8" s="15"/>
      <c r="E8" s="16"/>
      <c r="F8" s="15"/>
      <c r="G8" s="16"/>
      <c r="H8" s="14" t="s">
        <v>89</v>
      </c>
    </row>
    <row r="9" customFormat="false" ht="45.75" hidden="false" customHeight="true" outlineLevel="0" collapsed="false">
      <c r="A9" s="6" t="s">
        <v>40</v>
      </c>
      <c r="B9" s="14" t="s">
        <v>90</v>
      </c>
      <c r="C9" s="14" t="s">
        <v>91</v>
      </c>
      <c r="D9" s="15" t="n">
        <v>0.5</v>
      </c>
      <c r="E9" s="16" t="n">
        <v>5</v>
      </c>
      <c r="F9" s="15" t="n">
        <v>0</v>
      </c>
      <c r="G9" s="16" t="n">
        <v>10</v>
      </c>
      <c r="H9" s="14" t="s">
        <v>92</v>
      </c>
    </row>
    <row r="10" customFormat="false" ht="45.75" hidden="false" customHeight="true" outlineLevel="0" collapsed="false">
      <c r="A10" s="6" t="s">
        <v>47</v>
      </c>
      <c r="B10" s="14" t="s">
        <v>93</v>
      </c>
      <c r="C10" s="14" t="s">
        <v>94</v>
      </c>
      <c r="D10" s="15" t="n">
        <v>0</v>
      </c>
      <c r="E10" s="16" t="n">
        <v>5</v>
      </c>
      <c r="F10" s="15" t="n">
        <v>0</v>
      </c>
      <c r="G10" s="16" t="n">
        <v>10</v>
      </c>
      <c r="H10" s="14" t="s">
        <v>95</v>
      </c>
    </row>
    <row r="11" customFormat="false" ht="45.75" hidden="false" customHeight="true" outlineLevel="0" collapsed="false">
      <c r="A11" s="6" t="s">
        <v>51</v>
      </c>
      <c r="B11" s="14" t="s">
        <v>96</v>
      </c>
      <c r="C11" s="14" t="s">
        <v>97</v>
      </c>
      <c r="D11" s="15" t="n">
        <v>0</v>
      </c>
      <c r="E11" s="16" t="n">
        <v>6</v>
      </c>
      <c r="F11" s="15" t="n">
        <v>0</v>
      </c>
      <c r="G11" s="16" t="n">
        <v>12</v>
      </c>
      <c r="H11" s="14" t="s">
        <v>98</v>
      </c>
    </row>
    <row r="13" customFormat="false" ht="15" hidden="false" customHeight="true" outlineLevel="0" collapsed="false">
      <c r="A13" s="17"/>
      <c r="B13" s="18" t="s">
        <v>55</v>
      </c>
      <c r="C13" s="17"/>
      <c r="D13" s="17"/>
      <c r="E13" s="17"/>
      <c r="F13" s="17"/>
      <c r="G13" s="17"/>
      <c r="H13" s="17"/>
    </row>
    <row r="14" customFormat="false" ht="15" hidden="false" customHeight="true" outlineLevel="0" collapsed="false">
      <c r="A14" s="17"/>
      <c r="B14" s="5" t="s">
        <v>56</v>
      </c>
      <c r="C14" s="17"/>
      <c r="D14" s="19" t="n">
        <f aca="false">AVERAGE(D6:D11)</f>
        <v>0.2</v>
      </c>
      <c r="E14" s="20" t="n">
        <f aca="false">AVERAGE(E6:E11)</f>
        <v>5.2</v>
      </c>
      <c r="F14" s="19" t="n">
        <f aca="false">AVERAGE(F6:F11)</f>
        <v>0</v>
      </c>
      <c r="G14" s="17"/>
      <c r="H14" s="17"/>
    </row>
    <row r="15" customFormat="false" ht="15" hidden="false" customHeight="true" outlineLevel="0" collapsed="false">
      <c r="A15" s="17"/>
      <c r="B15" s="5" t="s">
        <v>57</v>
      </c>
      <c r="C15" s="17"/>
      <c r="D15" s="19" t="n">
        <f aca="false">MEDIAN(D6:D11)</f>
        <v>0</v>
      </c>
      <c r="E15" s="20" t="n">
        <f aca="false">MEDIAN(E6:E11)</f>
        <v>5</v>
      </c>
      <c r="F15" s="19" t="n">
        <f aca="false">MEDIAN(F6:F11)</f>
        <v>0</v>
      </c>
      <c r="G15" s="17"/>
      <c r="H15" s="17"/>
    </row>
    <row r="16" customFormat="false" ht="15" hidden="false" customHeight="true" outlineLevel="0" collapsed="false">
      <c r="A16" s="17"/>
      <c r="B16" s="5" t="s">
        <v>58</v>
      </c>
      <c r="C16" s="17"/>
      <c r="D16" s="19" t="n">
        <f aca="false">MIN(D6:D11)</f>
        <v>0</v>
      </c>
      <c r="E16" s="20" t="n">
        <f aca="false">MIN(E6:E11)</f>
        <v>4</v>
      </c>
      <c r="F16" s="19" t="n">
        <f aca="false">MIN(F6:F11)</f>
        <v>0</v>
      </c>
      <c r="G16" s="17"/>
      <c r="H16" s="17"/>
    </row>
    <row r="17" customFormat="false" ht="15" hidden="false" customHeight="true" outlineLevel="0" collapsed="false">
      <c r="A17" s="17"/>
      <c r="B17" s="5" t="s">
        <v>59</v>
      </c>
      <c r="C17" s="17"/>
      <c r="D17" s="19" t="n">
        <f aca="false">MAX(D6:D11)</f>
        <v>0.5</v>
      </c>
      <c r="E17" s="20" t="n">
        <f aca="false">MAX(E6:E11)</f>
        <v>6</v>
      </c>
      <c r="F17" s="19" t="n">
        <f aca="false">MAX(F6:F11)</f>
        <v>0</v>
      </c>
      <c r="G17" s="17"/>
      <c r="H17" s="17"/>
    </row>
    <row r="18" customFormat="false" ht="15" hidden="false" customHeight="true" outlineLevel="0" collapsed="false">
      <c r="A18" s="17"/>
      <c r="B18" s="5" t="s">
        <v>60</v>
      </c>
      <c r="C18" s="17"/>
      <c r="D18" s="19" t="n">
        <f aca="false">STDEV(D6:D11)</f>
        <v>0.273861278752583</v>
      </c>
      <c r="E18" s="20" t="n">
        <f aca="false">STDEV(E6:E11)</f>
        <v>0.836660026534076</v>
      </c>
      <c r="F18" s="19" t="n">
        <f aca="false">STDEV(F6:F11)</f>
        <v>0</v>
      </c>
      <c r="G18" s="17"/>
      <c r="H18" s="17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32"/>
  </cols>
  <sheetData>
    <row r="1" customFormat="false" ht="95.25" hidden="false" customHeight="true" outlineLevel="0" collapsed="false">
      <c r="A1" s="2" t="s">
        <v>99</v>
      </c>
    </row>
    <row r="2" customFormat="false" ht="21.75" hidden="false" customHeight="true" outlineLevel="0" collapsed="false">
      <c r="A2" s="3" t="s">
        <v>14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customFormat="false" ht="15" hidden="false" customHeight="true" outlineLevel="0" collapsed="false">
      <c r="A5" s="6" t="s">
        <v>23</v>
      </c>
      <c r="B5" s="10" t="s">
        <v>24</v>
      </c>
      <c r="C5" s="11" t="s">
        <v>23</v>
      </c>
      <c r="D5" s="12" t="n">
        <v>1</v>
      </c>
      <c r="E5" s="11" t="n">
        <v>0</v>
      </c>
      <c r="F5" s="12" t="n">
        <v>0</v>
      </c>
      <c r="G5" s="11"/>
      <c r="H5" s="13" t="s">
        <v>25</v>
      </c>
    </row>
    <row r="6" customFormat="false" ht="45.75" hidden="false" customHeight="true" outlineLevel="0" collapsed="false">
      <c r="A6" s="6" t="s">
        <v>26</v>
      </c>
      <c r="B6" s="14" t="s">
        <v>100</v>
      </c>
      <c r="C6" s="14" t="s">
        <v>101</v>
      </c>
      <c r="D6" s="15" t="n">
        <v>0</v>
      </c>
      <c r="E6" s="16" t="n">
        <v>5</v>
      </c>
      <c r="F6" s="15" t="n">
        <v>0.1</v>
      </c>
      <c r="G6" s="16" t="n">
        <v>10</v>
      </c>
      <c r="H6" s="14" t="s">
        <v>102</v>
      </c>
    </row>
    <row r="7" customFormat="false" ht="45.75" hidden="false" customHeight="true" outlineLevel="0" collapsed="false">
      <c r="A7" s="6" t="s">
        <v>33</v>
      </c>
      <c r="B7" s="14" t="s">
        <v>103</v>
      </c>
      <c r="C7" s="14" t="s">
        <v>104</v>
      </c>
      <c r="D7" s="15"/>
      <c r="E7" s="16"/>
      <c r="F7" s="15"/>
      <c r="G7" s="16"/>
      <c r="H7" s="14" t="s">
        <v>105</v>
      </c>
    </row>
    <row r="8" customFormat="false" ht="45.75" hidden="false" customHeight="true" outlineLevel="0" collapsed="false">
      <c r="A8" s="6" t="s">
        <v>40</v>
      </c>
      <c r="B8" s="14" t="s">
        <v>106</v>
      </c>
      <c r="C8" s="14" t="s">
        <v>107</v>
      </c>
      <c r="D8" s="15" t="n">
        <v>0</v>
      </c>
      <c r="E8" s="16" t="n">
        <v>5</v>
      </c>
      <c r="F8" s="15" t="n">
        <v>0.0909</v>
      </c>
      <c r="G8" s="16" t="n">
        <v>11</v>
      </c>
      <c r="H8" s="14" t="s">
        <v>108</v>
      </c>
    </row>
    <row r="9" customFormat="false" ht="45.75" hidden="false" customHeight="true" outlineLevel="0" collapsed="false">
      <c r="A9" s="6" t="s">
        <v>47</v>
      </c>
      <c r="B9" s="14" t="s">
        <v>109</v>
      </c>
      <c r="C9" s="14" t="s">
        <v>110</v>
      </c>
      <c r="D9" s="15" t="n">
        <v>0</v>
      </c>
      <c r="E9" s="16" t="n">
        <v>5</v>
      </c>
      <c r="F9" s="15" t="n">
        <v>0</v>
      </c>
      <c r="G9" s="16" t="n">
        <v>10</v>
      </c>
      <c r="H9" s="14" t="s">
        <v>111</v>
      </c>
    </row>
    <row r="11" customFormat="false" ht="15" hidden="false" customHeight="true" outlineLevel="0" collapsed="false">
      <c r="A11" s="17"/>
      <c r="B11" s="18" t="s">
        <v>55</v>
      </c>
      <c r="C11" s="17"/>
      <c r="D11" s="17"/>
      <c r="E11" s="17"/>
      <c r="F11" s="17"/>
      <c r="G11" s="17"/>
      <c r="H11" s="17"/>
    </row>
    <row r="12" customFormat="false" ht="15" hidden="false" customHeight="true" outlineLevel="0" collapsed="false">
      <c r="A12" s="17"/>
      <c r="B12" s="5" t="s">
        <v>56</v>
      </c>
      <c r="C12" s="17"/>
      <c r="D12" s="19" t="n">
        <f aca="false">AVERAGE(D6:D9)</f>
        <v>0</v>
      </c>
      <c r="E12" s="20" t="n">
        <f aca="false">AVERAGE(E6:E9)</f>
        <v>5</v>
      </c>
      <c r="F12" s="19" t="n">
        <f aca="false">AVERAGE(F6:F9)</f>
        <v>0.0636333333333333</v>
      </c>
      <c r="G12" s="17"/>
      <c r="H12" s="17"/>
    </row>
    <row r="13" customFormat="false" ht="15" hidden="false" customHeight="true" outlineLevel="0" collapsed="false">
      <c r="A13" s="17"/>
      <c r="B13" s="5" t="s">
        <v>57</v>
      </c>
      <c r="C13" s="17"/>
      <c r="D13" s="19" t="n">
        <f aca="false">MEDIAN(D6:D9)</f>
        <v>0</v>
      </c>
      <c r="E13" s="20" t="n">
        <f aca="false">MEDIAN(E6:E9)</f>
        <v>5</v>
      </c>
      <c r="F13" s="19" t="n">
        <f aca="false">MEDIAN(F6:F9)</f>
        <v>0.0909</v>
      </c>
      <c r="G13" s="17"/>
      <c r="H13" s="17"/>
    </row>
    <row r="14" customFormat="false" ht="15" hidden="false" customHeight="true" outlineLevel="0" collapsed="false">
      <c r="A14" s="17"/>
      <c r="B14" s="5" t="s">
        <v>58</v>
      </c>
      <c r="C14" s="17"/>
      <c r="D14" s="19" t="n">
        <f aca="false">MIN(D6:D9)</f>
        <v>0</v>
      </c>
      <c r="E14" s="20" t="n">
        <f aca="false">MIN(E6:E9)</f>
        <v>5</v>
      </c>
      <c r="F14" s="19" t="n">
        <f aca="false">MIN(F6:F9)</f>
        <v>0</v>
      </c>
      <c r="G14" s="17"/>
      <c r="H14" s="17"/>
    </row>
    <row r="15" customFormat="false" ht="15" hidden="false" customHeight="true" outlineLevel="0" collapsed="false">
      <c r="A15" s="17"/>
      <c r="B15" s="5" t="s">
        <v>59</v>
      </c>
      <c r="C15" s="17"/>
      <c r="D15" s="19" t="n">
        <f aca="false">MAX(D6:D9)</f>
        <v>0</v>
      </c>
      <c r="E15" s="20" t="n">
        <f aca="false">MAX(E6:E9)</f>
        <v>5</v>
      </c>
      <c r="F15" s="19" t="n">
        <f aca="false">MAX(F6:F9)</f>
        <v>0.1</v>
      </c>
      <c r="G15" s="17"/>
      <c r="H15" s="17"/>
    </row>
    <row r="16" customFormat="false" ht="15" hidden="false" customHeight="true" outlineLevel="0" collapsed="false">
      <c r="A16" s="17"/>
      <c r="B16" s="5" t="s">
        <v>60</v>
      </c>
      <c r="C16" s="17"/>
      <c r="D16" s="19" t="n">
        <f aca="false">STDEV(D6:D9)</f>
        <v>0</v>
      </c>
      <c r="E16" s="20" t="n">
        <f aca="false">STDEV(E6:E9)</f>
        <v>0</v>
      </c>
      <c r="F16" s="19" t="n">
        <f aca="false">STDEV(F6:F9)</f>
        <v>0.0552955995838126</v>
      </c>
      <c r="G16" s="17"/>
      <c r="H16" s="17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2026-07-02T23:23:09Z</dcterms:created>
  <dc:creator>openpyxl</dc:creator>
  <dc:description/>
  <dc:language>en-US</dc:language>
  <cp:lastModifiedBy/>
  <dcterms:modified xsi:type="dcterms:W3CDTF">2026-07-06T09:06:51Z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